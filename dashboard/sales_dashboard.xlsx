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WNLOADS\sales project\"/>
    </mc:Choice>
  </mc:AlternateContent>
  <xr:revisionPtr revIDLastSave="0" documentId="8_{374EFEDF-E8F1-45BF-9D93-0F881E0EF678}" xr6:coauthVersionLast="47" xr6:coauthVersionMax="47" xr10:uidLastSave="{00000000-0000-0000-0000-000000000000}"/>
  <bookViews>
    <workbookView xWindow="-120" yWindow="-120" windowWidth="20730" windowHeight="11160" activeTab="2" xr2:uid="{7B6A6A6E-07EB-4187-AF3E-A25880682A40}"/>
  </bookViews>
  <sheets>
    <sheet name="chart" sheetId="1" r:id="rId1"/>
    <sheet name="Sheet2" sheetId="3" r:id="rId2"/>
    <sheet name="Sheet1" sheetId="2" r:id="rId3"/>
  </sheets>
  <calcPr calcId="0"/>
  <pivotCaches>
    <pivotCache cacheId="3" r:id="rId4"/>
    <pivotCache cacheId="7" r:id="rId5"/>
    <pivotCache cacheId="11" r:id="rId6"/>
    <pivotCache cacheId="25" r:id="rId7"/>
    <pivotCache cacheId="29" r:id="rId8"/>
  </pivotCaches>
</workbook>
</file>

<file path=xl/sharedStrings.xml><?xml version="1.0" encoding="utf-8"?>
<sst xmlns="http://schemas.openxmlformats.org/spreadsheetml/2006/main" count="117" uniqueCount="45">
  <si>
    <t>Row Labels</t>
  </si>
  <si>
    <t>Sum of sales</t>
  </si>
  <si>
    <t>Sum of profit</t>
  </si>
  <si>
    <t>January</t>
  </si>
  <si>
    <t>Central</t>
  </si>
  <si>
    <t>Furniture</t>
  </si>
  <si>
    <t>Canon imageCLASS 2200 Advanced Copier</t>
  </si>
  <si>
    <t>Consumer</t>
  </si>
  <si>
    <t>February</t>
  </si>
  <si>
    <t>East</t>
  </si>
  <si>
    <t>Office Supplies</t>
  </si>
  <si>
    <t>Cisco TelePresence System EX90 Videoconferencing Unit</t>
  </si>
  <si>
    <t>Corporate</t>
  </si>
  <si>
    <t>March</t>
  </si>
  <si>
    <t>South</t>
  </si>
  <si>
    <t>Technology</t>
  </si>
  <si>
    <t>Fellowes PB500 Electric Punch Plastic Comb Binding Machine with Manual Bind</t>
  </si>
  <si>
    <t>Home Office</t>
  </si>
  <si>
    <t>April</t>
  </si>
  <si>
    <t>West</t>
  </si>
  <si>
    <t>Grand Total</t>
  </si>
  <si>
    <t>GBC DocuBind P400 Electric Binding System</t>
  </si>
  <si>
    <t>May</t>
  </si>
  <si>
    <t>GBC DocuBind TL300 Electric Binding System</t>
  </si>
  <si>
    <t>June</t>
  </si>
  <si>
    <t>GBC Ibimaster 500 Manual ProClick Binding System</t>
  </si>
  <si>
    <t>July</t>
  </si>
  <si>
    <t>Hewlett Packard LaserJet 3310 Copier</t>
  </si>
  <si>
    <t>August</t>
  </si>
  <si>
    <t>High Speed Automatic Electric Letter Opener</t>
  </si>
  <si>
    <t>September</t>
  </si>
  <si>
    <t>HON 5400 Series Task Chairs for Big and Tall</t>
  </si>
  <si>
    <t>October</t>
  </si>
  <si>
    <t>HP Designjet T520 Inkjet Large Format Printer - 24" Color</t>
  </si>
  <si>
    <t>November</t>
  </si>
  <si>
    <t>December</t>
  </si>
  <si>
    <t xml:space="preserve">Total sales </t>
  </si>
  <si>
    <t>Total Profit</t>
  </si>
  <si>
    <t>Total Order</t>
  </si>
  <si>
    <t>Total Quantity</t>
  </si>
  <si>
    <t>Average Profit Margin</t>
  </si>
  <si>
    <t>Average Discount</t>
  </si>
  <si>
    <t>Sum of Sum of sales</t>
  </si>
  <si>
    <t>Sales Performance Dashboard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</si>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</sst>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Semibold"/>
      <family val="2"/>
    </font>
    <font>
      <sz val="20"/>
      <color theme="1"/>
      <name val="Segoe UI Semibold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33" borderId="0" xfId="0" applyFont="1" applyFill="1" applyAlignment="1">
      <alignment horizontal="center"/>
    </xf>
    <xf numFmtId="0" fontId="18" fillId="34" borderId="0" xfId="0" applyFont="1" applyFill="1"/>
    <xf numFmtId="0" fontId="0" fillId="34" borderId="0" xfId="0" applyFill="1"/>
    <xf numFmtId="0" fontId="18" fillId="35" borderId="0" xfId="0" applyFont="1" applyFill="1"/>
    <xf numFmtId="0" fontId="0" fillId="35" borderId="0" xfId="0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Sheet2!$A$2:$A$15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Grand Total</c:v>
                </c:pt>
              </c:strCache>
            </c:strRef>
          </c:cat>
          <c:val>
            <c:numRef>
              <c:f>Sheet2!$B$2:$B$15</c:f>
              <c:numCache>
                <c:formatCode>General</c:formatCode>
                <c:ptCount val="13"/>
                <c:pt idx="0">
                  <c:v>94924.835600000006</c:v>
                </c:pt>
                <c:pt idx="1">
                  <c:v>59751.251400000001</c:v>
                </c:pt>
                <c:pt idx="2">
                  <c:v>205005.48879999999</c:v>
                </c:pt>
                <c:pt idx="3">
                  <c:v>137762.1286</c:v>
                </c:pt>
                <c:pt idx="4">
                  <c:v>155028.81169999999</c:v>
                </c:pt>
                <c:pt idx="5">
                  <c:v>152718.67929999999</c:v>
                </c:pt>
                <c:pt idx="6">
                  <c:v>147238.09700000001</c:v>
                </c:pt>
                <c:pt idx="7">
                  <c:v>159044.06299999999</c:v>
                </c:pt>
                <c:pt idx="8">
                  <c:v>307649.94569999998</c:v>
                </c:pt>
                <c:pt idx="9">
                  <c:v>200322.9847</c:v>
                </c:pt>
                <c:pt idx="10">
                  <c:v>352461.071</c:v>
                </c:pt>
                <c:pt idx="11">
                  <c:v>325293.50349999999</c:v>
                </c:pt>
                <c:pt idx="12">
                  <c:v>2297200.86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C1-4CD6-8ADA-7113D0CDF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924992"/>
        <c:axId val="805944672"/>
      </c:lineChart>
      <c:catAx>
        <c:axId val="8059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44672"/>
        <c:crosses val="autoZero"/>
        <c:auto val="1"/>
        <c:lblAlgn val="ctr"/>
        <c:lblOffset val="100"/>
        <c:noMultiLvlLbl val="0"/>
      </c:catAx>
      <c:valAx>
        <c:axId val="80594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2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[chart.xlsx]Sheet2!PivotTable2</c:name>
    <c:fmtId val="6"/>
  </c:pivotSource>
  <c:chart>
    <c:title>
      <c:layout>
        <c:manualLayout>
          <c:xMode val="edge"/>
          <c:yMode val="edge"/>
          <c:x val="0.73116620752984385"/>
          <c:y val="3.7111633144745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733883894435143"/>
          <c:y val="0.15413025038078229"/>
          <c:w val="0.51171905164746967"/>
          <c:h val="0.664593849235117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60000"/>
                    <a:lumOff val="40000"/>
                  </a:schemeClr>
                </a:gs>
                <a:gs pos="0">
                  <a:schemeClr val="accent1"/>
                </a:gs>
              </a:gsLst>
              <a:lin ang="5400000" scaled="0"/>
            </a:gra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8A-44EE-A511-E4BABE2CCE32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8A-44EE-A511-E4BABE2CCE32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8A-44EE-A511-E4BABE2CCE32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8A-44EE-A511-E4BABE2CCE32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8A-44EE-A511-E4BABE2CCE32}"/>
              </c:ext>
            </c:extLst>
          </c:dPt>
          <c:cat>
            <c:strRef>
              <c:f>Sheet2!$E$2:$E$7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Grand Total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Sheet2!$F$2:$F$7</c:f>
              <c:numCache>
                <c:formatCode>General</c:formatCode>
                <c:ptCount val="5"/>
                <c:pt idx="0">
                  <c:v>501239.89079999999</c:v>
                </c:pt>
                <c:pt idx="1">
                  <c:v>678781.24</c:v>
                </c:pt>
                <c:pt idx="2">
                  <c:v>2297200.86</c:v>
                </c:pt>
                <c:pt idx="3">
                  <c:v>391721.90500000003</c:v>
                </c:pt>
                <c:pt idx="4">
                  <c:v>725457.82449999999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8A-44EE-A511-E4BABE2CC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25300736"/>
        <c:axId val="825316576"/>
      </c:barChart>
      <c:catAx>
        <c:axId val="825300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316576"/>
        <c:auto val="1"/>
        <c:lblAlgn val="ctr"/>
        <c:lblOffset val="100"/>
        <c:noMultiLvlLbl val="0"/>
      </c:catAx>
      <c:valAx>
        <c:axId val="8253165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30073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[chart.xlsx]Sheet2!PivotTable3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Sheet2!$I$1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334-4762-AF2A-9DB4108F3B0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334-4762-AF2A-9DB4108F3B0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334-4762-AF2A-9DB4108F3B00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334-4762-AF2A-9DB4108F3B0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Sheet2!$H$2:$H$6</c:f>
              <c:strCache>
                <c:ptCount val="4"/>
                <c:pt idx="0">
                  <c:v>Furniture</c:v>
                </c:pt>
                <c:pt idx="1">
                  <c:v>Grand Total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Sheet2!$I$2:$I$6</c:f>
              <c:numCache>
                <c:formatCode>General</c:formatCode>
                <c:ptCount val="4"/>
                <c:pt idx="0">
                  <c:v>741999.7953</c:v>
                </c:pt>
                <c:pt idx="1">
                  <c:v>2297200.86</c:v>
                </c:pt>
                <c:pt idx="2">
                  <c:v>719047.03200000001</c:v>
                </c:pt>
                <c:pt idx="3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34-4762-AF2A-9DB4108F3B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[chart.xlsx]Sheet2!PivotTable7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Sheet2!$I$8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Sheet2!$H$9:$H$19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Grand Total</c:v>
                </c:pt>
                <c:pt idx="7">
                  <c:v>Hewlett Packard LaserJet 3310 Copier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Sheet2!$I$9:$I$19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244620.204</c:v>
                </c:pt>
                <c:pt idx="7">
                  <c:v>18839.686000000002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4-4D7C-A38D-A09FCDD62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9283536"/>
        <c:axId val="1039273456"/>
      </c:barChart>
      <c:catAx>
        <c:axId val="103928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73456"/>
        <c:crosses val="autoZero"/>
        <c:auto val="1"/>
        <c:lblAlgn val="ctr"/>
        <c:lblOffset val="100"/>
        <c:noMultiLvlLbl val="0"/>
      </c:catAx>
      <c:valAx>
        <c:axId val="103927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8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[chart.xlsx]Sheet2!PivotTable8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E0-4705-8488-FD6B81F73B9A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E0-4705-8488-FD6B81F73B9A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E0-4705-8488-FD6B81F73B9A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E0-4705-8488-FD6B81F73B9A}"/>
              </c:ext>
            </c:extLst>
          </c:dPt>
          <c:cat>
            <c:strRef>
              <c:f>Sheet2!$J$4:$J$8</c:f>
              <c:strCache>
                <c:ptCount val="4"/>
                <c:pt idx="0">
                  <c:v>Furniture</c:v>
                </c:pt>
                <c:pt idx="1">
                  <c:v>Grand Total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Sheet2!$K$4:$K$8</c:f>
              <c:numCache>
                <c:formatCode>General</c:formatCode>
                <c:ptCount val="4"/>
                <c:pt idx="0">
                  <c:v>18451.272799999999</c:v>
                </c:pt>
                <c:pt idx="1">
                  <c:v>286397.02169999998</c:v>
                </c:pt>
                <c:pt idx="2">
                  <c:v>122490.8008</c:v>
                </c:pt>
                <c:pt idx="3">
                  <c:v>145454.94810000001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E0-4705-8488-FD6B81F73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51121</xdr:colOff>
      <xdr:row>6</xdr:row>
      <xdr:rowOff>27670</xdr:rowOff>
    </xdr:from>
    <xdr:to>
      <xdr:col>4</xdr:col>
      <xdr:colOff>373765</xdr:colOff>
      <xdr:row>22</xdr:row>
      <xdr:rowOff>48227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43EBE-B5E3-687D-4CB3-B112B0A8B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455271</xdr:colOff>
      <xdr:row>6</xdr:row>
      <xdr:rowOff>33337</xdr:rowOff>
    </xdr:from>
    <xdr:to>
      <xdr:col>9</xdr:col>
      <xdr:colOff>1181583</xdr:colOff>
      <xdr:row>22</xdr:row>
      <xdr:rowOff>24113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425CBD9-5A4E-1083-A656-D0DC1CD74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1275629</xdr:colOff>
      <xdr:row>6</xdr:row>
      <xdr:rowOff>59983</xdr:rowOff>
    </xdr:from>
    <xdr:to>
      <xdr:col>15</xdr:col>
      <xdr:colOff>156741</xdr:colOff>
      <xdr:row>22</xdr:row>
      <xdr:rowOff>36169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D2E9FBA2-4C74-F3BD-3887-92152B357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105966</xdr:colOff>
      <xdr:row>22</xdr:row>
      <xdr:rowOff>183409</xdr:rowOff>
    </xdr:from>
    <xdr:to>
      <xdr:col>9</xdr:col>
      <xdr:colOff>1157469</xdr:colOff>
      <xdr:row>41</xdr:row>
      <xdr:rowOff>108512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6AAF7845-E6CC-5BA4-FCEF-EFF47CCA5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1380607</xdr:colOff>
      <xdr:row>22</xdr:row>
      <xdr:rowOff>178743</xdr:rowOff>
    </xdr:from>
    <xdr:to>
      <xdr:col>15</xdr:col>
      <xdr:colOff>144683</xdr:colOff>
      <xdr:row>41</xdr:row>
      <xdr:rowOff>108512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9DB8E9D9-596F-C0A0-9361-5FDE38831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maya Raj" refreshedDate="46214.668232291668" createdVersion="8" refreshedVersion="8" minRefreshableVersion="3" recordCount="13" xr:uid="{EE412F94-274D-4369-A52A-9FD2F853D192}">
  <cacheSource type="worksheet">
    <worksheetSource ref="A1:B14" sheet="chart"/>
  </cacheSource>
  <cacheFields count="2">
    <cacheField name="Row Labels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Grand Total"/>
      </sharedItems>
    </cacheField>
    <cacheField name="Sum of sales" numFmtId="0">
      <sharedItems containsSemiMixedTypes="0" containsString="0" containsNumber="1" minValue="59751.251400000001" maxValue="2297200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maya Raj" refreshedDate="46214.669662152781" createdVersion="8" refreshedVersion="8" minRefreshableVersion="3" recordCount="5" xr:uid="{0F57912F-39C5-485C-9663-4588C4696C47}">
  <cacheSource type="worksheet">
    <worksheetSource ref="D1:E6" sheet="chart"/>
  </cacheSource>
  <cacheFields count="2">
    <cacheField name="Row Labels" numFmtId="0">
      <sharedItems count="5">
        <s v="Central"/>
        <s v="East"/>
        <s v="South"/>
        <s v="West"/>
        <s v="Grand Total"/>
      </sharedItems>
    </cacheField>
    <cacheField name="Sum of sales" numFmtId="0">
      <sharedItems containsSemiMixedTypes="0" containsString="0" containsNumber="1" minValue="391721.90500000003" maxValue="2297200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maya Raj" refreshedDate="46214.67011550926" createdVersion="8" refreshedVersion="8" minRefreshableVersion="3" recordCount="4" xr:uid="{1988AE31-F8CB-4357-A508-80C590B01BDD}">
  <cacheSource type="worksheet">
    <worksheetSource ref="G1:H5" sheet="chart"/>
  </cacheSource>
  <cacheFields count="2">
    <cacheField name="Row Labels" numFmtId="0">
      <sharedItems count="4">
        <s v="Furniture"/>
        <s v="Office Supplies"/>
        <s v="Technology"/>
        <s v="Grand Total"/>
      </sharedItems>
    </cacheField>
    <cacheField name="Sum of sales" numFmtId="0">
      <sharedItems containsSemiMixedTypes="0" containsString="0" containsNumber="1" minValue="719047.03200000001" maxValue="2297200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maya Raj" refreshedDate="46214.680874652775" createdVersion="8" refreshedVersion="8" minRefreshableVersion="3" recordCount="11" xr:uid="{B042E6A4-8C7D-466B-97CD-B20D2D028BFA}">
  <cacheSource type="worksheet">
    <worksheetSource ref="P1:Q12" sheet="chart"/>
  </cacheSource>
  <cacheFields count="2">
    <cacheField name="Row Labels" numFmtId="0">
      <sharedItems count="11">
        <s v="Canon imageCLASS 2200 Advanced Copier"/>
        <s v="Cisco TelePresence System EX90 Videoconferencing Unit"/>
        <s v="Fellowes PB500 Electric Punch Plastic Comb Binding Machine with Manual Bind"/>
        <s v="GBC DocuBind P400 Electric Binding System"/>
        <s v="GBC DocuBind TL300 Electric Binding System"/>
        <s v="GBC Ibimaster 500 Manual ProClick Binding System"/>
        <s v="Hewlett Packard LaserJet 3310 Copier"/>
        <s v="High Speed Automatic Electric Letter Opener"/>
        <s v="HON 5400 Series Task Chairs for Big and Tall"/>
        <s v="HP Designjet T520 Inkjet Large Format Printer - 24&quot; Color"/>
        <s v="Grand Total"/>
      </sharedItems>
    </cacheField>
    <cacheField name="Sum of sales" numFmtId="0">
      <sharedItems containsSemiMixedTypes="0" containsString="0" containsNumber="1" minValue="17030.312000000002" maxValue="244620.204" count="11">
        <n v="61599.824000000001"/>
        <n v="22638.48"/>
        <n v="27453.383999999998"/>
        <n v="17965.067999999999"/>
        <n v="19823.478999999999"/>
        <n v="19024.5"/>
        <n v="18839.686000000002"/>
        <n v="17030.312000000002"/>
        <n v="21870.576000000001"/>
        <n v="18374.895"/>
        <n v="244620.2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maya Raj" refreshedDate="46214.684647569447" createdVersion="8" refreshedVersion="8" minRefreshableVersion="3" recordCount="4" xr:uid="{173CD5FE-DC75-4D07-9EFE-1A8C151866A3}">
  <cacheSource type="worksheet">
    <worksheetSource ref="M1:N5" sheet="chart"/>
  </cacheSource>
  <cacheFields count="2">
    <cacheField name="Row Labels" numFmtId="0">
      <sharedItems count="4">
        <s v="Furniture"/>
        <s v="Office Supplies"/>
        <s v="Technology"/>
        <s v="Grand Total"/>
      </sharedItems>
    </cacheField>
    <cacheField name="Sum of profit" numFmtId="0">
      <sharedItems containsSemiMixedTypes="0" containsString="0" containsNumber="1" minValue="18451.272799999999" maxValue="286397.0216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94924.835600000006"/>
  </r>
  <r>
    <x v="1"/>
    <n v="59751.251400000001"/>
  </r>
  <r>
    <x v="2"/>
    <n v="205005.48879999999"/>
  </r>
  <r>
    <x v="3"/>
    <n v="137762.1286"/>
  </r>
  <r>
    <x v="4"/>
    <n v="155028.81169999999"/>
  </r>
  <r>
    <x v="5"/>
    <n v="152718.67929999999"/>
  </r>
  <r>
    <x v="6"/>
    <n v="147238.09700000001"/>
  </r>
  <r>
    <x v="7"/>
    <n v="159044.06299999999"/>
  </r>
  <r>
    <x v="8"/>
    <n v="307649.94569999998"/>
  </r>
  <r>
    <x v="9"/>
    <n v="200322.9847"/>
  </r>
  <r>
    <x v="10"/>
    <n v="352461.071"/>
  </r>
  <r>
    <x v="11"/>
    <n v="325293.50349999999"/>
  </r>
  <r>
    <x v="12"/>
    <n v="2297200.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01239.89079999999"/>
  </r>
  <r>
    <x v="1"/>
    <n v="678781.24"/>
  </r>
  <r>
    <x v="2"/>
    <n v="391721.90500000003"/>
  </r>
  <r>
    <x v="3"/>
    <n v="725457.82449999999"/>
  </r>
  <r>
    <x v="4"/>
    <n v="2297200.8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41999.7953"/>
  </r>
  <r>
    <x v="1"/>
    <n v="719047.03200000001"/>
  </r>
  <r>
    <x v="2"/>
    <n v="836154.03300000005"/>
  </r>
  <r>
    <x v="3"/>
    <n v="2297200.8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8451.272799999999"/>
  </r>
  <r>
    <x v="1"/>
    <n v="122490.8008"/>
  </r>
  <r>
    <x v="2"/>
    <n v="145454.94810000001"/>
  </r>
  <r>
    <x v="3"/>
    <n v="286397.0216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B35E3-3C2D-4A3B-A942-C899002D3D9A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J3:K8" firstHeaderRow="1" firstDataRow="1" firstDataCol="1"/>
  <pivotFields count="2">
    <pivotField axis="axisRow" showAll="0">
      <items count="5">
        <item x="0"/>
        <item x="3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5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7DC2D-CC11-40F1-9F5C-BCDF817E3346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H8:I19" firstHeaderRow="1" firstDataRow="1" firstDataCol="1"/>
  <pivotFields count="2">
    <pivotField axis="axisRow" showAll="0" measureFilter="1" sortType="ascending">
      <items count="12">
        <item x="0"/>
        <item x="1"/>
        <item x="2"/>
        <item x="3"/>
        <item x="4"/>
        <item x="5"/>
        <item x="10"/>
        <item x="6"/>
        <item x="7"/>
        <item x="8"/>
        <item x="9"/>
        <item t="default"/>
      </items>
    </pivotField>
    <pivotField dataField="1" showAll="0">
      <items count="12">
        <item x="7"/>
        <item x="3"/>
        <item x="9"/>
        <item x="6"/>
        <item x="5"/>
        <item x="4"/>
        <item x="8"/>
        <item x="1"/>
        <item x="2"/>
        <item x="0"/>
        <item x="1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Items count="1">
    <i/>
  </colItems>
  <dataFields count="1">
    <dataField name="Sum of Sum of sales" fld="1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751C1-2E03-4A26-90E5-BA4C4F6C9557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H1:I6" firstHeaderRow="1" firstDataRow="1" firstDataCol="1"/>
  <pivotFields count="2">
    <pivotField axis="axisRow" showAll="0">
      <items count="5">
        <item x="0"/>
        <item x="3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m of sales" fld="1" baseField="0" baseItem="0"/>
  </dataFields>
  <chartFormats count="5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6C2C1-0092-4166-920C-6BF53720A06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>
  <location ref="E1:F7" firstHeaderRow="1" firstDataRow="1" firstDataCol="1"/>
  <pivotFields count="2">
    <pivotField axis="axisRow" showAll="0">
      <items count="6">
        <item x="0"/>
        <item x="1"/>
        <item x="4"/>
        <item x="2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um of sales" fld="1" baseField="0" baseItem="0"/>
  </dataFields>
  <chartFormats count="6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D025A-A139-4A29-9791-685A948F242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1:B15" firstHeaderRow="1" firstDataRow="1" firstDataCol="1"/>
  <pivotFields count="2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597B-6D32-4A34-85B3-B1AE7611E9FC}">
  <dimension ref="A1:T14"/>
  <sheetViews>
    <sheetView topLeftCell="E1" workbookViewId="0">
      <selection activeCell="M1" sqref="M1:O5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2</v>
      </c>
      <c r="P1" t="s">
        <v>0</v>
      </c>
      <c r="Q1" t="s">
        <v>1</v>
      </c>
      <c r="S1" t="s">
        <v>0</v>
      </c>
      <c r="T1" t="s">
        <v>1</v>
      </c>
    </row>
    <row r="2" spans="1:20" x14ac:dyDescent="0.25">
      <c r="A2" t="s">
        <v>3</v>
      </c>
      <c r="B2">
        <v>94924.835600000006</v>
      </c>
      <c r="D2" t="s">
        <v>4</v>
      </c>
      <c r="E2">
        <v>501239.89079999999</v>
      </c>
      <c r="G2" t="s">
        <v>5</v>
      </c>
      <c r="H2">
        <v>741999.7953</v>
      </c>
      <c r="J2" t="s">
        <v>5</v>
      </c>
      <c r="K2">
        <v>741999.7953</v>
      </c>
      <c r="M2" t="s">
        <v>5</v>
      </c>
      <c r="N2">
        <v>18451.272799999999</v>
      </c>
      <c r="P2" t="s">
        <v>6</v>
      </c>
      <c r="Q2">
        <v>61599.824000000001</v>
      </c>
      <c r="S2" t="s">
        <v>7</v>
      </c>
      <c r="T2">
        <v>1161401.345</v>
      </c>
    </row>
    <row r="3" spans="1:20" x14ac:dyDescent="0.25">
      <c r="A3" t="s">
        <v>8</v>
      </c>
      <c r="B3">
        <v>59751.251400000001</v>
      </c>
      <c r="D3" t="s">
        <v>9</v>
      </c>
      <c r="E3">
        <v>678781.24</v>
      </c>
      <c r="G3" t="s">
        <v>10</v>
      </c>
      <c r="H3">
        <v>719047.03200000001</v>
      </c>
      <c r="J3" t="s">
        <v>10</v>
      </c>
      <c r="K3">
        <v>719047.03200000001</v>
      </c>
      <c r="M3" t="s">
        <v>10</v>
      </c>
      <c r="N3">
        <v>122490.8008</v>
      </c>
      <c r="P3" t="s">
        <v>11</v>
      </c>
      <c r="Q3">
        <v>22638.48</v>
      </c>
      <c r="S3" t="s">
        <v>12</v>
      </c>
      <c r="T3">
        <v>706146.36679999996</v>
      </c>
    </row>
    <row r="4" spans="1:20" x14ac:dyDescent="0.25">
      <c r="A4" t="s">
        <v>13</v>
      </c>
      <c r="B4">
        <v>205005.48879999999</v>
      </c>
      <c r="D4" t="s">
        <v>14</v>
      </c>
      <c r="E4">
        <v>391721.90500000003</v>
      </c>
      <c r="G4" t="s">
        <v>15</v>
      </c>
      <c r="H4">
        <v>836154.03300000005</v>
      </c>
      <c r="J4" t="s">
        <v>15</v>
      </c>
      <c r="K4">
        <v>836154.03300000005</v>
      </c>
      <c r="M4" t="s">
        <v>15</v>
      </c>
      <c r="N4">
        <v>145454.94810000001</v>
      </c>
      <c r="P4" t="s">
        <v>16</v>
      </c>
      <c r="Q4">
        <v>27453.383999999998</v>
      </c>
      <c r="S4" t="s">
        <v>17</v>
      </c>
      <c r="T4">
        <v>429653.14850000001</v>
      </c>
    </row>
    <row r="5" spans="1:20" x14ac:dyDescent="0.25">
      <c r="A5" t="s">
        <v>18</v>
      </c>
      <c r="B5">
        <v>137762.1286</v>
      </c>
      <c r="D5" t="s">
        <v>19</v>
      </c>
      <c r="E5">
        <v>725457.82449999999</v>
      </c>
      <c r="G5" t="s">
        <v>20</v>
      </c>
      <c r="H5">
        <v>2297200.86</v>
      </c>
      <c r="J5" t="s">
        <v>20</v>
      </c>
      <c r="K5">
        <v>2297200.86</v>
      </c>
      <c r="M5" t="s">
        <v>20</v>
      </c>
      <c r="N5">
        <v>286397.02169999998</v>
      </c>
      <c r="P5" t="s">
        <v>21</v>
      </c>
      <c r="Q5">
        <v>17965.067999999999</v>
      </c>
      <c r="S5" t="s">
        <v>20</v>
      </c>
      <c r="T5">
        <v>2297200.86</v>
      </c>
    </row>
    <row r="6" spans="1:20" x14ac:dyDescent="0.25">
      <c r="A6" t="s">
        <v>22</v>
      </c>
      <c r="B6">
        <v>155028.81169999999</v>
      </c>
      <c r="D6" t="s">
        <v>20</v>
      </c>
      <c r="E6">
        <v>2297200.86</v>
      </c>
      <c r="P6" t="s">
        <v>23</v>
      </c>
      <c r="Q6">
        <v>19823.478999999999</v>
      </c>
    </row>
    <row r="7" spans="1:20" x14ac:dyDescent="0.25">
      <c r="A7" t="s">
        <v>24</v>
      </c>
      <c r="B7">
        <v>152718.67929999999</v>
      </c>
      <c r="P7" t="s">
        <v>25</v>
      </c>
      <c r="Q7">
        <v>19024.5</v>
      </c>
    </row>
    <row r="8" spans="1:20" x14ac:dyDescent="0.25">
      <c r="A8" t="s">
        <v>26</v>
      </c>
      <c r="B8">
        <v>147238.09700000001</v>
      </c>
      <c r="P8" t="s">
        <v>27</v>
      </c>
      <c r="Q8">
        <v>18839.686000000002</v>
      </c>
    </row>
    <row r="9" spans="1:20" x14ac:dyDescent="0.25">
      <c r="A9" t="s">
        <v>28</v>
      </c>
      <c r="B9">
        <v>159044.06299999999</v>
      </c>
      <c r="P9" t="s">
        <v>29</v>
      </c>
      <c r="Q9">
        <v>17030.312000000002</v>
      </c>
    </row>
    <row r="10" spans="1:20" x14ac:dyDescent="0.25">
      <c r="A10" t="s">
        <v>30</v>
      </c>
      <c r="B10">
        <v>307649.94569999998</v>
      </c>
      <c r="P10" t="s">
        <v>31</v>
      </c>
      <c r="Q10">
        <v>21870.576000000001</v>
      </c>
    </row>
    <row r="11" spans="1:20" x14ac:dyDescent="0.25">
      <c r="A11" t="s">
        <v>32</v>
      </c>
      <c r="B11">
        <v>200322.9847</v>
      </c>
      <c r="P11" t="s">
        <v>33</v>
      </c>
      <c r="Q11">
        <v>18374.895</v>
      </c>
    </row>
    <row r="12" spans="1:20" x14ac:dyDescent="0.25">
      <c r="A12" t="s">
        <v>34</v>
      </c>
      <c r="B12">
        <v>352461.071</v>
      </c>
      <c r="P12" t="s">
        <v>20</v>
      </c>
      <c r="Q12">
        <v>244620.204</v>
      </c>
    </row>
    <row r="13" spans="1:20" x14ac:dyDescent="0.25">
      <c r="A13" t="s">
        <v>35</v>
      </c>
      <c r="B13">
        <v>325293.50349999999</v>
      </c>
    </row>
    <row r="14" spans="1:20" x14ac:dyDescent="0.25">
      <c r="A14" t="s">
        <v>20</v>
      </c>
      <c r="B14">
        <v>2297200.86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428E-A4FD-4FE0-98CE-DE2E7D2BEB27}">
  <dimension ref="A1:K19"/>
  <sheetViews>
    <sheetView topLeftCell="F1" workbookViewId="0">
      <selection activeCell="K11" sqref="K11"/>
    </sheetView>
  </sheetViews>
  <sheetFormatPr defaultRowHeight="15" x14ac:dyDescent="0.25"/>
  <cols>
    <col min="5" max="5" width="13.140625" bestFit="1" customWidth="1"/>
    <col min="6" max="6" width="18.85546875" bestFit="1" customWidth="1"/>
    <col min="8" max="8" width="72.28515625" bestFit="1" customWidth="1"/>
    <col min="9" max="9" width="18.85546875" bestFit="1" customWidth="1"/>
    <col min="10" max="10" width="14.5703125" bestFit="1" customWidth="1"/>
    <col min="11" max="11" width="12" bestFit="1" customWidth="1"/>
  </cols>
  <sheetData>
    <row r="1" spans="1:11" x14ac:dyDescent="0.25">
      <c r="A1" s="1" t="s">
        <v>0</v>
      </c>
      <c r="B1" t="s">
        <v>42</v>
      </c>
      <c r="E1" s="1" t="s">
        <v>0</v>
      </c>
      <c r="F1" t="s">
        <v>42</v>
      </c>
      <c r="H1" s="1" t="s">
        <v>0</v>
      </c>
      <c r="I1" t="s">
        <v>42</v>
      </c>
    </row>
    <row r="2" spans="1:11" x14ac:dyDescent="0.25">
      <c r="A2" s="2" t="s">
        <v>3</v>
      </c>
      <c r="B2" s="3">
        <v>94924.835600000006</v>
      </c>
      <c r="E2" s="2" t="s">
        <v>4</v>
      </c>
      <c r="F2" s="3">
        <v>501239.89079999999</v>
      </c>
      <c r="H2" s="2" t="s">
        <v>5</v>
      </c>
      <c r="I2" s="3">
        <v>741999.7953</v>
      </c>
    </row>
    <row r="3" spans="1:11" x14ac:dyDescent="0.25">
      <c r="A3" s="2" t="s">
        <v>8</v>
      </c>
      <c r="B3" s="3">
        <v>59751.251400000001</v>
      </c>
      <c r="E3" s="2" t="s">
        <v>9</v>
      </c>
      <c r="F3" s="3">
        <v>678781.24</v>
      </c>
      <c r="H3" s="2" t="s">
        <v>20</v>
      </c>
      <c r="I3" s="3">
        <v>2297200.86</v>
      </c>
      <c r="J3" s="1" t="s">
        <v>0</v>
      </c>
      <c r="K3" t="s">
        <v>44</v>
      </c>
    </row>
    <row r="4" spans="1:11" x14ac:dyDescent="0.25">
      <c r="A4" s="2" t="s">
        <v>13</v>
      </c>
      <c r="B4" s="3">
        <v>205005.48879999999</v>
      </c>
      <c r="E4" s="2" t="s">
        <v>20</v>
      </c>
      <c r="F4" s="3">
        <v>2297200.86</v>
      </c>
      <c r="H4" s="2" t="s">
        <v>10</v>
      </c>
      <c r="I4" s="3">
        <v>719047.03200000001</v>
      </c>
      <c r="J4" s="2" t="s">
        <v>5</v>
      </c>
      <c r="K4" s="3">
        <v>18451.272799999999</v>
      </c>
    </row>
    <row r="5" spans="1:11" x14ac:dyDescent="0.25">
      <c r="A5" s="2" t="s">
        <v>18</v>
      </c>
      <c r="B5" s="3">
        <v>137762.1286</v>
      </c>
      <c r="E5" s="2" t="s">
        <v>14</v>
      </c>
      <c r="F5" s="3">
        <v>391721.90500000003</v>
      </c>
      <c r="H5" s="2" t="s">
        <v>15</v>
      </c>
      <c r="I5" s="3">
        <v>836154.03300000005</v>
      </c>
      <c r="J5" s="2" t="s">
        <v>20</v>
      </c>
      <c r="K5" s="3">
        <v>286397.02169999998</v>
      </c>
    </row>
    <row r="6" spans="1:11" x14ac:dyDescent="0.25">
      <c r="A6" s="2" t="s">
        <v>22</v>
      </c>
      <c r="B6" s="3">
        <v>155028.81169999999</v>
      </c>
      <c r="E6" s="2" t="s">
        <v>19</v>
      </c>
      <c r="F6" s="3">
        <v>725457.82449999999</v>
      </c>
      <c r="H6" s="2" t="s">
        <v>20</v>
      </c>
      <c r="I6" s="3">
        <v>4594401.7203000002</v>
      </c>
      <c r="J6" s="2" t="s">
        <v>10</v>
      </c>
      <c r="K6" s="3">
        <v>122490.8008</v>
      </c>
    </row>
    <row r="7" spans="1:11" x14ac:dyDescent="0.25">
      <c r="A7" s="2" t="s">
        <v>24</v>
      </c>
      <c r="B7" s="3">
        <v>152718.67929999999</v>
      </c>
      <c r="E7" s="2" t="s">
        <v>20</v>
      </c>
      <c r="F7" s="3">
        <v>4594401.7203000002</v>
      </c>
      <c r="J7" s="2" t="s">
        <v>15</v>
      </c>
      <c r="K7" s="3">
        <v>145454.94810000001</v>
      </c>
    </row>
    <row r="8" spans="1:11" x14ac:dyDescent="0.25">
      <c r="A8" s="2" t="s">
        <v>26</v>
      </c>
      <c r="B8" s="3">
        <v>147238.09700000001</v>
      </c>
      <c r="H8" s="1" t="s">
        <v>0</v>
      </c>
      <c r="I8" t="s">
        <v>42</v>
      </c>
      <c r="J8" s="2" t="s">
        <v>20</v>
      </c>
      <c r="K8" s="3">
        <v>572794.04339999997</v>
      </c>
    </row>
    <row r="9" spans="1:11" x14ac:dyDescent="0.25">
      <c r="A9" s="2" t="s">
        <v>28</v>
      </c>
      <c r="B9" s="3">
        <v>159044.06299999999</v>
      </c>
      <c r="H9" s="2" t="s">
        <v>6</v>
      </c>
      <c r="I9" s="3">
        <v>61599.824000000001</v>
      </c>
    </row>
    <row r="10" spans="1:11" x14ac:dyDescent="0.25">
      <c r="A10" s="2" t="s">
        <v>30</v>
      </c>
      <c r="B10" s="3">
        <v>307649.94569999998</v>
      </c>
      <c r="H10" s="2" t="s">
        <v>11</v>
      </c>
      <c r="I10" s="3">
        <v>22638.48</v>
      </c>
    </row>
    <row r="11" spans="1:11" x14ac:dyDescent="0.25">
      <c r="A11" s="2" t="s">
        <v>32</v>
      </c>
      <c r="B11" s="3">
        <v>200322.9847</v>
      </c>
      <c r="H11" s="2" t="s">
        <v>16</v>
      </c>
      <c r="I11" s="3">
        <v>27453.383999999998</v>
      </c>
    </row>
    <row r="12" spans="1:11" x14ac:dyDescent="0.25">
      <c r="A12" s="2" t="s">
        <v>34</v>
      </c>
      <c r="B12" s="3">
        <v>352461.071</v>
      </c>
      <c r="H12" s="2" t="s">
        <v>21</v>
      </c>
      <c r="I12" s="3">
        <v>17965.067999999999</v>
      </c>
    </row>
    <row r="13" spans="1:11" x14ac:dyDescent="0.25">
      <c r="A13" s="2" t="s">
        <v>35</v>
      </c>
      <c r="B13" s="3">
        <v>325293.50349999999</v>
      </c>
      <c r="H13" s="2" t="s">
        <v>23</v>
      </c>
      <c r="I13" s="3">
        <v>19823.478999999999</v>
      </c>
    </row>
    <row r="14" spans="1:11" x14ac:dyDescent="0.25">
      <c r="A14" s="2" t="s">
        <v>20</v>
      </c>
      <c r="B14" s="3">
        <v>2297200.86</v>
      </c>
      <c r="H14" s="2" t="s">
        <v>25</v>
      </c>
      <c r="I14" s="3">
        <v>19024.5</v>
      </c>
    </row>
    <row r="15" spans="1:11" x14ac:dyDescent="0.25">
      <c r="A15" s="2" t="s">
        <v>20</v>
      </c>
      <c r="B15" s="3">
        <v>4594401.7203000002</v>
      </c>
      <c r="H15" s="2" t="s">
        <v>20</v>
      </c>
      <c r="I15" s="3">
        <v>244620.204</v>
      </c>
    </row>
    <row r="16" spans="1:11" x14ac:dyDescent="0.25">
      <c r="H16" s="2" t="s">
        <v>27</v>
      </c>
      <c r="I16" s="3">
        <v>18839.686000000002</v>
      </c>
    </row>
    <row r="17" spans="8:9" x14ac:dyDescent="0.25">
      <c r="H17" s="2" t="s">
        <v>31</v>
      </c>
      <c r="I17" s="3">
        <v>21870.576000000001</v>
      </c>
    </row>
    <row r="18" spans="8:9" x14ac:dyDescent="0.25">
      <c r="H18" s="2" t="s">
        <v>33</v>
      </c>
      <c r="I18" s="3">
        <v>18374.895</v>
      </c>
    </row>
    <row r="19" spans="8:9" x14ac:dyDescent="0.25">
      <c r="H19" s="2" t="s">
        <v>20</v>
      </c>
      <c r="I19" s="3">
        <v>472210.09600000002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B8EB-4054-428F-AA5E-ED8BB700BF69}">
  <dimension ref="A1:P50"/>
  <sheetViews>
    <sheetView showGridLines="0" tabSelected="1" zoomScale="79" zoomScaleNormal="70" workbookViewId="0">
      <selection activeCell="J50" sqref="J50"/>
    </sheetView>
  </sheetViews>
  <sheetFormatPr defaultRowHeight="15" x14ac:dyDescent="0.25"/>
  <cols>
    <col min="2" max="2" width="14.5703125" bestFit="1" customWidth="1"/>
    <col min="3" max="3" width="19.42578125" bestFit="1" customWidth="1"/>
    <col min="4" max="4" width="14.85546875" customWidth="1"/>
    <col min="6" max="6" width="12" customWidth="1"/>
    <col min="8" max="8" width="15.42578125" customWidth="1"/>
    <col min="9" max="9" width="14.140625" customWidth="1"/>
    <col min="10" max="10" width="21.7109375" customWidth="1"/>
    <col min="12" max="12" width="17.7109375" customWidth="1"/>
    <col min="13" max="13" width="15.5703125" customWidth="1"/>
  </cols>
  <sheetData>
    <row r="1" spans="1:16" x14ac:dyDescent="0.25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9"/>
      <c r="P1" s="9"/>
    </row>
    <row r="2" spans="1:1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9"/>
      <c r="P2" s="9"/>
    </row>
    <row r="3" spans="1:16" ht="16.5" x14ac:dyDescent="0.3">
      <c r="A3" s="5"/>
      <c r="B3" s="6"/>
      <c r="C3" s="5"/>
      <c r="D3" s="6"/>
      <c r="E3" s="5"/>
      <c r="F3" s="6"/>
      <c r="G3" s="5"/>
      <c r="H3" s="6"/>
      <c r="I3" s="6"/>
      <c r="J3" s="6"/>
      <c r="K3" s="6"/>
      <c r="L3" s="6"/>
      <c r="M3" s="5"/>
      <c r="N3" s="6"/>
      <c r="O3" s="6"/>
      <c r="P3" s="6"/>
    </row>
    <row r="4" spans="1:16" ht="16.5" x14ac:dyDescent="0.3">
      <c r="A4" s="6"/>
      <c r="B4" s="7" t="s">
        <v>36</v>
      </c>
      <c r="C4" s="6"/>
      <c r="D4" s="7" t="s">
        <v>37</v>
      </c>
      <c r="E4" s="6"/>
      <c r="F4" s="7" t="s">
        <v>38</v>
      </c>
      <c r="G4" s="6"/>
      <c r="H4" s="7" t="s">
        <v>39</v>
      </c>
      <c r="I4" s="5"/>
      <c r="J4" s="7" t="s">
        <v>40</v>
      </c>
      <c r="K4" s="5"/>
      <c r="L4" s="7" t="s">
        <v>41</v>
      </c>
      <c r="M4" s="6"/>
      <c r="N4" s="6"/>
      <c r="O4" s="6"/>
      <c r="P4" s="6"/>
    </row>
    <row r="5" spans="1:16" x14ac:dyDescent="0.25">
      <c r="A5" s="6"/>
      <c r="B5" s="8">
        <v>2297200.86</v>
      </c>
      <c r="C5" s="6"/>
      <c r="D5" s="8">
        <v>286397.02169999998</v>
      </c>
      <c r="E5" s="6"/>
      <c r="F5" s="8">
        <v>9994</v>
      </c>
      <c r="G5" s="6"/>
      <c r="H5" s="8">
        <v>37873</v>
      </c>
      <c r="I5" s="6"/>
      <c r="J5" s="8">
        <v>0.12031393</v>
      </c>
      <c r="K5" s="6"/>
      <c r="L5" s="8">
        <v>0.15620272199999999</v>
      </c>
      <c r="M5" s="6"/>
      <c r="N5" s="6"/>
      <c r="O5" s="6"/>
      <c r="P5" s="6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</sheetData>
  <mergeCells count="1">
    <mergeCell ref="A1:N2"/>
  </mergeCells>
  <pageMargins left="0.7" right="0.7" top="0.75" bottom="0.75" header="0.3" footer="0.3"/>
  <drawing r:id="rId1"/>
</worksheet>
</file>